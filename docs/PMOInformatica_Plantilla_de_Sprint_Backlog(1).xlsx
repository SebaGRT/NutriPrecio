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5"/>
    <sheet state="visible" name="Instructivo" sheetId="2" r:id="rId6"/>
  </sheets>
  <definedNames/>
  <calcPr/>
</workbook>
</file>

<file path=xl/sharedStrings.xml><?xml version="1.0" encoding="utf-8"?>
<sst xmlns="http://schemas.openxmlformats.org/spreadsheetml/2006/main" count="127" uniqueCount="67">
  <si>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</si>
  <si>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</si>
  <si>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</si>
  <si>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</si>
  <si>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</si>
  <si>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</si>
  <si>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</si>
  <si>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</si>
  <si>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</si>
  <si>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</si>
  <si>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</si>
  <si>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</si>
  <si>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</si>
  <si>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</si>
  <si>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</si>
  <si>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</si>
  <si>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</si>
  <si>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</si>
  <si>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</si>
  <si>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</si>
  <si>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</si>
  <si>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</si>
  <si>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</si>
  <si>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</si>
  <si>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</si>
  <si>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</si>
  <si>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</si>
  <si>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</si>
  <si>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</si>
  <si>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</si>
  <si>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</si>
  <si>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</si>
  <si>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MV-03</t>
  </si>
  <si>
    <t>Como un vendedor independiente, necesito poder registrar mi tienda o pyme en la plataforma, con la finalidad de que los compradores sepan de mi existencia y cómo contactarme, y pueda mostrar mis productos en el portal.</t>
  </si>
  <si>
    <t>Backend: Crear tabla en BDD para Perfiles de Tienda, vinculada al usuario.</t>
  </si>
  <si>
    <t>Vicente Sepúlveda</t>
  </si>
  <si>
    <t>Por hacer</t>
  </si>
  <si>
    <t>Frontend: Crear formulario para que el vendedor ingrese datos de su pyme</t>
  </si>
  <si>
    <t>Benjamín Buzeta</t>
  </si>
  <si>
    <t>Backend: Crear endpoint para recibir y guardar la información pública de la tienda</t>
  </si>
  <si>
    <t>Matías Ramirez</t>
  </si>
  <si>
    <t>MV-52</t>
  </si>
  <si>
    <t>Como un futuro comprador, necesito un login, con la finalidad de poder crear mi cuenta para acceder a las funcionalidades que corresponden</t>
  </si>
  <si>
    <t>Backend: Configurar la base de datos para usuarios, y encriptación de contraseñas.</t>
  </si>
  <si>
    <t>Frontend: Diseñar interfaz del formulario de Registro e Inicio de Sesión.</t>
  </si>
  <si>
    <t>Fernando Sepúlveda</t>
  </si>
  <si>
    <t>Backend: Desarrollar lógica para validación de credenciales y tokens de sesión.</t>
  </si>
  <si>
    <t>MV-54</t>
  </si>
  <si>
    <t>Como un vendedor independiente logueado, necesito acceder a un panel de control privado, con la finalidad de gestionar la información de mi tienda en un solo lugar.</t>
  </si>
  <si>
    <t>Backend: Configurar rutar protegidas en el sistema, para que solo usuarios logueados como vendedores puedan ver el panel.</t>
  </si>
  <si>
    <t>Frontend: Diseñar y maquetar el Layout del Dashboard</t>
  </si>
  <si>
    <t>Frontend: Crear vista de Inicio del Dashboard, mostrando un mensaje de bienvenida y el estado actual del perfil.</t>
  </si>
  <si>
    <t>Sebastián Herrera</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</si>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</sst>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left" shrinkToFit="0" vertical="top" wrapText="1"/>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9.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9" t="s">
        <v>35</v>
      </c>
      <c r="F6" s="9" t="s">
        <v>36</v>
      </c>
      <c r="G6" s="9">
        <v>4.0</v>
      </c>
      <c r="H6" s="10">
        <v>1.0</v>
      </c>
      <c r="I6" s="11">
        <f t="shared" ref="I6:I17" si="1">G6-H6</f>
        <v>3</v>
      </c>
      <c r="J6" s="12"/>
      <c r="K6" s="10">
        <v>1.0</v>
      </c>
      <c r="L6" s="11">
        <f t="shared" ref="L6:L17" si="2">I6-K6</f>
        <v>2</v>
      </c>
      <c r="M6" s="12"/>
      <c r="N6" s="10">
        <v>0.0</v>
      </c>
      <c r="O6" s="11">
        <f t="shared" ref="O6:O17" si="3">L6-N6</f>
        <v>2</v>
      </c>
      <c r="P6" s="12"/>
      <c r="Q6" s="10">
        <v>0.0</v>
      </c>
      <c r="R6" s="11">
        <f t="shared" ref="R6:R17" si="4">O6-Q6</f>
        <v>2</v>
      </c>
      <c r="S6" s="12"/>
      <c r="T6" s="10">
        <v>1.0</v>
      </c>
      <c r="U6" s="11">
        <f t="shared" ref="U6:U17" si="5">R6-T6</f>
        <v>1</v>
      </c>
      <c r="V6" s="12"/>
      <c r="W6" s="10">
        <v>1.0</v>
      </c>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3">
        <f t="shared" ref="BP6:BP17" si="21">H6+K6+N6+Q6+T6+W6+Z6+AC6+AF6+AI6+AL6+AO6+AR6+AU6+AX6+BA6+BD6+BG6+BJ6+BM6</f>
        <v>4</v>
      </c>
      <c r="BQ6" s="13">
        <f t="shared" ref="BQ6:BQ17" si="22">G6-BP6</f>
        <v>0</v>
      </c>
    </row>
    <row r="7">
      <c r="A7" s="1"/>
      <c r="B7" s="14"/>
      <c r="C7" s="14"/>
      <c r="D7" s="9" t="s">
        <v>37</v>
      </c>
      <c r="E7" s="9" t="s">
        <v>38</v>
      </c>
      <c r="F7" s="9" t="s">
        <v>36</v>
      </c>
      <c r="G7" s="9">
        <v>5.0</v>
      </c>
      <c r="H7" s="10">
        <v>1.0</v>
      </c>
      <c r="I7" s="11">
        <f t="shared" si="1"/>
        <v>4</v>
      </c>
      <c r="J7" s="12"/>
      <c r="K7" s="10">
        <v>0.0</v>
      </c>
      <c r="L7" s="11">
        <f t="shared" si="2"/>
        <v>4</v>
      </c>
      <c r="M7" s="12"/>
      <c r="N7" s="10">
        <v>0.0</v>
      </c>
      <c r="O7" s="11">
        <f t="shared" si="3"/>
        <v>4</v>
      </c>
      <c r="P7" s="12"/>
      <c r="Q7" s="10">
        <v>1.0</v>
      </c>
      <c r="R7" s="11">
        <f t="shared" si="4"/>
        <v>3</v>
      </c>
      <c r="S7" s="12"/>
      <c r="T7" s="10">
        <v>1.0</v>
      </c>
      <c r="U7" s="11">
        <f t="shared" si="5"/>
        <v>2</v>
      </c>
      <c r="V7" s="12"/>
      <c r="W7" s="10">
        <v>0.0</v>
      </c>
      <c r="X7" s="11">
        <f t="shared" si="6"/>
        <v>2</v>
      </c>
      <c r="Y7" s="12"/>
      <c r="Z7" s="10">
        <v>2.0</v>
      </c>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3">
        <f t="shared" si="21"/>
        <v>5</v>
      </c>
      <c r="BQ7" s="13">
        <f t="shared" si="22"/>
        <v>0</v>
      </c>
    </row>
    <row r="8">
      <c r="A8" s="1"/>
      <c r="B8" s="14"/>
      <c r="C8" s="14"/>
      <c r="D8" s="9" t="s">
        <v>39</v>
      </c>
      <c r="E8" s="9" t="s">
        <v>40</v>
      </c>
      <c r="F8" s="9" t="s">
        <v>36</v>
      </c>
      <c r="G8" s="9">
        <v>5.0</v>
      </c>
      <c r="H8" s="10">
        <v>0.0</v>
      </c>
      <c r="I8" s="11">
        <f t="shared" si="1"/>
        <v>5</v>
      </c>
      <c r="J8" s="12"/>
      <c r="K8" s="10">
        <v>1.0</v>
      </c>
      <c r="L8" s="11">
        <f t="shared" si="2"/>
        <v>4</v>
      </c>
      <c r="M8" s="12"/>
      <c r="N8" s="10">
        <v>1.0</v>
      </c>
      <c r="O8" s="11">
        <f t="shared" si="3"/>
        <v>3</v>
      </c>
      <c r="P8" s="12"/>
      <c r="Q8" s="10">
        <v>1.0</v>
      </c>
      <c r="R8" s="11">
        <f t="shared" si="4"/>
        <v>2</v>
      </c>
      <c r="S8" s="12"/>
      <c r="T8" s="10">
        <v>1.0</v>
      </c>
      <c r="U8" s="11">
        <f t="shared" si="5"/>
        <v>1</v>
      </c>
      <c r="V8" s="12"/>
      <c r="W8" s="10">
        <v>0.0</v>
      </c>
      <c r="X8" s="11">
        <f t="shared" si="6"/>
        <v>1</v>
      </c>
      <c r="Y8" s="12"/>
      <c r="Z8" s="10">
        <v>1.0</v>
      </c>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3">
        <f t="shared" si="21"/>
        <v>5</v>
      </c>
      <c r="BQ8" s="13">
        <f t="shared" si="22"/>
        <v>0</v>
      </c>
    </row>
    <row r="9">
      <c r="A9" s="1"/>
      <c r="B9" s="14"/>
      <c r="C9" s="14"/>
      <c r="D9" s="14"/>
      <c r="E9" s="14"/>
      <c r="F9" s="14"/>
      <c r="G9" s="14"/>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3">
        <f t="shared" si="21"/>
        <v>0</v>
      </c>
      <c r="BQ9" s="13">
        <f t="shared" si="22"/>
        <v>0</v>
      </c>
    </row>
    <row r="10">
      <c r="A10" s="1"/>
      <c r="B10" s="9" t="s">
        <v>41</v>
      </c>
      <c r="C10" s="9" t="s">
        <v>42</v>
      </c>
      <c r="D10" s="9" t="s">
        <v>43</v>
      </c>
      <c r="E10" s="9" t="s">
        <v>35</v>
      </c>
      <c r="F10" s="9" t="s">
        <v>36</v>
      </c>
      <c r="G10" s="9">
        <v>4.0</v>
      </c>
      <c r="H10" s="10">
        <v>0.0</v>
      </c>
      <c r="I10" s="11">
        <f t="shared" si="1"/>
        <v>4</v>
      </c>
      <c r="J10" s="12"/>
      <c r="K10" s="10">
        <v>0.0</v>
      </c>
      <c r="L10" s="11">
        <f t="shared" si="2"/>
        <v>4</v>
      </c>
      <c r="M10" s="12"/>
      <c r="N10" s="10">
        <v>2.0</v>
      </c>
      <c r="O10" s="11">
        <f t="shared" si="3"/>
        <v>2</v>
      </c>
      <c r="P10" s="12"/>
      <c r="Q10" s="10">
        <v>1.0</v>
      </c>
      <c r="R10" s="11">
        <f t="shared" si="4"/>
        <v>1</v>
      </c>
      <c r="S10" s="12"/>
      <c r="T10" s="10">
        <v>0.0</v>
      </c>
      <c r="U10" s="11">
        <f t="shared" si="5"/>
        <v>1</v>
      </c>
      <c r="V10" s="12"/>
      <c r="W10" s="10">
        <v>1.0</v>
      </c>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3">
        <f t="shared" si="21"/>
        <v>4</v>
      </c>
      <c r="BQ10" s="13">
        <f t="shared" si="22"/>
        <v>0</v>
      </c>
    </row>
    <row r="11">
      <c r="A11" s="1"/>
      <c r="B11" s="14"/>
      <c r="C11" s="14"/>
      <c r="D11" s="9" t="s">
        <v>44</v>
      </c>
      <c r="E11" s="9" t="s">
        <v>45</v>
      </c>
      <c r="F11" s="9" t="s">
        <v>36</v>
      </c>
      <c r="G11" s="9">
        <v>5.0</v>
      </c>
      <c r="H11" s="10">
        <v>2.0</v>
      </c>
      <c r="I11" s="11">
        <f t="shared" si="1"/>
        <v>3</v>
      </c>
      <c r="J11" s="12"/>
      <c r="K11" s="10">
        <v>1.0</v>
      </c>
      <c r="L11" s="11">
        <f t="shared" si="2"/>
        <v>2</v>
      </c>
      <c r="M11" s="12"/>
      <c r="N11" s="10">
        <v>1.0</v>
      </c>
      <c r="O11" s="11">
        <f t="shared" si="3"/>
        <v>1</v>
      </c>
      <c r="P11" s="12"/>
      <c r="Q11" s="10">
        <v>1.0</v>
      </c>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3">
        <f t="shared" si="21"/>
        <v>5</v>
      </c>
      <c r="BQ11" s="13">
        <f t="shared" si="22"/>
        <v>0</v>
      </c>
    </row>
    <row r="12">
      <c r="A12" s="1"/>
      <c r="B12" s="14"/>
      <c r="C12" s="14"/>
      <c r="D12" s="9" t="s">
        <v>46</v>
      </c>
      <c r="E12" s="9" t="s">
        <v>38</v>
      </c>
      <c r="F12" s="9" t="s">
        <v>36</v>
      </c>
      <c r="G12" s="9">
        <v>5.0</v>
      </c>
      <c r="H12" s="10">
        <v>1.0</v>
      </c>
      <c r="I12" s="11">
        <f t="shared" si="1"/>
        <v>4</v>
      </c>
      <c r="J12" s="12"/>
      <c r="K12" s="10">
        <v>0.0</v>
      </c>
      <c r="L12" s="11">
        <f t="shared" si="2"/>
        <v>4</v>
      </c>
      <c r="M12" s="12"/>
      <c r="N12" s="10">
        <v>0.0</v>
      </c>
      <c r="O12" s="11">
        <f t="shared" si="3"/>
        <v>4</v>
      </c>
      <c r="P12" s="12"/>
      <c r="Q12" s="10">
        <v>1.0</v>
      </c>
      <c r="R12" s="11">
        <f t="shared" si="4"/>
        <v>3</v>
      </c>
      <c r="S12" s="12"/>
      <c r="T12" s="10">
        <v>1.0</v>
      </c>
      <c r="U12" s="11">
        <f t="shared" si="5"/>
        <v>2</v>
      </c>
      <c r="V12" s="12"/>
      <c r="W12" s="10">
        <v>0.0</v>
      </c>
      <c r="X12" s="11">
        <f t="shared" si="6"/>
        <v>2</v>
      </c>
      <c r="Y12" s="12"/>
      <c r="Z12" s="10">
        <v>1.0</v>
      </c>
      <c r="AA12" s="11">
        <f t="shared" si="7"/>
        <v>1</v>
      </c>
      <c r="AB12" s="12"/>
      <c r="AC12" s="10">
        <v>1.0</v>
      </c>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3">
        <f t="shared" si="21"/>
        <v>5</v>
      </c>
      <c r="BQ12" s="13">
        <f t="shared" si="22"/>
        <v>0</v>
      </c>
    </row>
    <row r="13">
      <c r="A13" s="1"/>
      <c r="B13" s="14"/>
      <c r="C13" s="14"/>
      <c r="D13" s="14"/>
      <c r="E13" s="14"/>
      <c r="F13" s="14"/>
      <c r="G13" s="14"/>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3">
        <f t="shared" si="21"/>
        <v>0</v>
      </c>
      <c r="BQ13" s="13">
        <f t="shared" si="22"/>
        <v>0</v>
      </c>
    </row>
    <row r="14">
      <c r="A14" s="1"/>
      <c r="B14" s="9" t="s">
        <v>47</v>
      </c>
      <c r="C14" s="9" t="s">
        <v>48</v>
      </c>
      <c r="D14" s="9" t="s">
        <v>49</v>
      </c>
      <c r="E14" s="9" t="s">
        <v>35</v>
      </c>
      <c r="F14" s="9" t="s">
        <v>36</v>
      </c>
      <c r="G14" s="9">
        <v>5.0</v>
      </c>
      <c r="H14" s="10">
        <v>0.0</v>
      </c>
      <c r="I14" s="11">
        <f t="shared" si="1"/>
        <v>5</v>
      </c>
      <c r="J14" s="12"/>
      <c r="K14" s="10">
        <v>1.0</v>
      </c>
      <c r="L14" s="11">
        <f t="shared" si="2"/>
        <v>4</v>
      </c>
      <c r="M14" s="12"/>
      <c r="N14" s="10">
        <v>0.0</v>
      </c>
      <c r="O14" s="11">
        <f t="shared" si="3"/>
        <v>4</v>
      </c>
      <c r="P14" s="12"/>
      <c r="Q14" s="10">
        <v>2.0</v>
      </c>
      <c r="R14" s="11">
        <f t="shared" si="4"/>
        <v>2</v>
      </c>
      <c r="S14" s="12"/>
      <c r="T14" s="10">
        <v>0.0</v>
      </c>
      <c r="U14" s="11">
        <f t="shared" si="5"/>
        <v>2</v>
      </c>
      <c r="V14" s="12"/>
      <c r="W14" s="10">
        <v>0.0</v>
      </c>
      <c r="X14" s="11">
        <f t="shared" si="6"/>
        <v>2</v>
      </c>
      <c r="Y14" s="12"/>
      <c r="Z14" s="10">
        <v>0.0</v>
      </c>
      <c r="AA14" s="11">
        <f t="shared" si="7"/>
        <v>2</v>
      </c>
      <c r="AB14" s="12"/>
      <c r="AC14" s="10">
        <v>1.0</v>
      </c>
      <c r="AD14" s="11">
        <f t="shared" si="8"/>
        <v>1</v>
      </c>
      <c r="AE14" s="12"/>
      <c r="AF14" s="10">
        <v>1.0</v>
      </c>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3">
        <f t="shared" si="21"/>
        <v>5</v>
      </c>
      <c r="BQ14" s="13">
        <f t="shared" si="22"/>
        <v>0</v>
      </c>
    </row>
    <row r="15">
      <c r="A15" s="1"/>
      <c r="B15" s="14"/>
      <c r="C15" s="14"/>
      <c r="D15" s="9" t="s">
        <v>50</v>
      </c>
      <c r="E15" s="9" t="s">
        <v>38</v>
      </c>
      <c r="F15" s="9" t="s">
        <v>36</v>
      </c>
      <c r="G15" s="9">
        <v>8.0</v>
      </c>
      <c r="H15" s="10">
        <v>0.0</v>
      </c>
      <c r="I15" s="11">
        <f t="shared" si="1"/>
        <v>8</v>
      </c>
      <c r="J15" s="12"/>
      <c r="K15" s="10">
        <v>1.0</v>
      </c>
      <c r="L15" s="11">
        <f t="shared" si="2"/>
        <v>7</v>
      </c>
      <c r="M15" s="12"/>
      <c r="N15" s="10">
        <v>1.0</v>
      </c>
      <c r="O15" s="11">
        <f t="shared" si="3"/>
        <v>6</v>
      </c>
      <c r="P15" s="12"/>
      <c r="Q15" s="10">
        <v>0.0</v>
      </c>
      <c r="R15" s="11">
        <f t="shared" si="4"/>
        <v>6</v>
      </c>
      <c r="S15" s="12"/>
      <c r="T15" s="10">
        <v>2.0</v>
      </c>
      <c r="U15" s="11">
        <f t="shared" si="5"/>
        <v>4</v>
      </c>
      <c r="V15" s="12"/>
      <c r="W15" s="10">
        <v>2.0</v>
      </c>
      <c r="X15" s="11">
        <f t="shared" si="6"/>
        <v>2</v>
      </c>
      <c r="Y15" s="12"/>
      <c r="Z15" s="10">
        <v>0.0</v>
      </c>
      <c r="AA15" s="11">
        <f t="shared" si="7"/>
        <v>2</v>
      </c>
      <c r="AB15" s="12"/>
      <c r="AC15" s="10">
        <v>0.0</v>
      </c>
      <c r="AD15" s="11">
        <f t="shared" si="8"/>
        <v>2</v>
      </c>
      <c r="AE15" s="12"/>
      <c r="AF15" s="10">
        <v>1.0</v>
      </c>
      <c r="AG15" s="11">
        <f t="shared" si="9"/>
        <v>1</v>
      </c>
      <c r="AH15" s="12"/>
      <c r="AI15" s="10">
        <v>1.0</v>
      </c>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3">
        <f t="shared" si="21"/>
        <v>8</v>
      </c>
      <c r="BQ15" s="13">
        <f t="shared" si="22"/>
        <v>0</v>
      </c>
    </row>
    <row r="16">
      <c r="A16" s="1"/>
      <c r="B16" s="14"/>
      <c r="C16" s="14"/>
      <c r="D16" s="9" t="s">
        <v>51</v>
      </c>
      <c r="E16" s="9" t="s">
        <v>52</v>
      </c>
      <c r="F16" s="9" t="s">
        <v>36</v>
      </c>
      <c r="G16" s="9">
        <v>6.0</v>
      </c>
      <c r="H16" s="10">
        <v>1.0</v>
      </c>
      <c r="I16" s="11">
        <f t="shared" si="1"/>
        <v>5</v>
      </c>
      <c r="J16" s="12"/>
      <c r="K16" s="10">
        <v>1.0</v>
      </c>
      <c r="L16" s="11">
        <f t="shared" si="2"/>
        <v>4</v>
      </c>
      <c r="M16" s="12"/>
      <c r="N16" s="10">
        <v>1.0</v>
      </c>
      <c r="O16" s="11">
        <f t="shared" si="3"/>
        <v>3</v>
      </c>
      <c r="P16" s="12"/>
      <c r="Q16" s="10">
        <v>1.0</v>
      </c>
      <c r="R16" s="11">
        <f t="shared" si="4"/>
        <v>2</v>
      </c>
      <c r="S16" s="12"/>
      <c r="T16" s="10">
        <v>1.0</v>
      </c>
      <c r="U16" s="11">
        <f t="shared" si="5"/>
        <v>1</v>
      </c>
      <c r="V16" s="12"/>
      <c r="W16" s="10">
        <v>1.0</v>
      </c>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3">
        <f t="shared" si="21"/>
        <v>6</v>
      </c>
      <c r="BQ16" s="13">
        <f t="shared" si="22"/>
        <v>0</v>
      </c>
    </row>
    <row r="17">
      <c r="A17" s="1"/>
      <c r="B17" s="14"/>
      <c r="C17" s="14"/>
      <c r="D17" s="14"/>
      <c r="E17" s="14"/>
      <c r="F17" s="14"/>
      <c r="G17" s="14">
        <f>SUM(G6:G16)</f>
        <v>47</v>
      </c>
      <c r="H17" s="11"/>
      <c r="I17" s="11">
        <f t="shared" si="1"/>
        <v>47</v>
      </c>
      <c r="J17" s="12"/>
      <c r="K17" s="11"/>
      <c r="L17" s="11">
        <f t="shared" si="2"/>
        <v>47</v>
      </c>
      <c r="M17" s="12"/>
      <c r="N17" s="11"/>
      <c r="O17" s="11">
        <f t="shared" si="3"/>
        <v>47</v>
      </c>
      <c r="P17" s="12"/>
      <c r="Q17" s="11"/>
      <c r="R17" s="11">
        <f t="shared" si="4"/>
        <v>47</v>
      </c>
      <c r="S17" s="12"/>
      <c r="T17" s="11"/>
      <c r="U17" s="11">
        <f t="shared" si="5"/>
        <v>47</v>
      </c>
      <c r="V17" s="12"/>
      <c r="W17" s="11"/>
      <c r="X17" s="11">
        <f t="shared" si="6"/>
        <v>47</v>
      </c>
      <c r="Y17" s="12"/>
      <c r="Z17" s="11"/>
      <c r="AA17" s="11">
        <f t="shared" si="7"/>
        <v>47</v>
      </c>
      <c r="AB17" s="12"/>
      <c r="AC17" s="11"/>
      <c r="AD17" s="11">
        <f t="shared" si="8"/>
        <v>47</v>
      </c>
      <c r="AE17" s="12"/>
      <c r="AF17" s="11"/>
      <c r="AG17" s="11">
        <f t="shared" si="9"/>
        <v>47</v>
      </c>
      <c r="AH17" s="12"/>
      <c r="AI17" s="11"/>
      <c r="AJ17" s="11">
        <f t="shared" si="10"/>
        <v>47</v>
      </c>
      <c r="AK17" s="12"/>
      <c r="AL17" s="11"/>
      <c r="AM17" s="11">
        <f t="shared" si="11"/>
        <v>47</v>
      </c>
      <c r="AN17" s="12"/>
      <c r="AO17" s="11"/>
      <c r="AP17" s="11">
        <f t="shared" si="12"/>
        <v>47</v>
      </c>
      <c r="AQ17" s="12"/>
      <c r="AR17" s="11"/>
      <c r="AS17" s="11">
        <f t="shared" si="13"/>
        <v>47</v>
      </c>
      <c r="AT17" s="12"/>
      <c r="AU17" s="11"/>
      <c r="AV17" s="11">
        <f t="shared" si="14"/>
        <v>47</v>
      </c>
      <c r="AW17" s="12"/>
      <c r="AX17" s="11"/>
      <c r="AY17" s="11">
        <f t="shared" si="15"/>
        <v>47</v>
      </c>
      <c r="AZ17" s="12"/>
      <c r="BA17" s="11"/>
      <c r="BB17" s="11">
        <f t="shared" si="16"/>
        <v>47</v>
      </c>
      <c r="BC17" s="12"/>
      <c r="BD17" s="11"/>
      <c r="BE17" s="11">
        <f t="shared" si="17"/>
        <v>47</v>
      </c>
      <c r="BF17" s="12"/>
      <c r="BG17" s="11"/>
      <c r="BH17" s="11">
        <f t="shared" si="18"/>
        <v>47</v>
      </c>
      <c r="BI17" s="12"/>
      <c r="BJ17" s="11"/>
      <c r="BK17" s="11">
        <f t="shared" si="19"/>
        <v>47</v>
      </c>
      <c r="BL17" s="12"/>
      <c r="BM17" s="11"/>
      <c r="BN17" s="11">
        <f t="shared" si="20"/>
        <v>47</v>
      </c>
      <c r="BO17" s="12"/>
      <c r="BP17" s="13">
        <f t="shared" si="21"/>
        <v>0</v>
      </c>
      <c r="BQ17" s="13">
        <f t="shared" si="22"/>
        <v>47</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53</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5" t="s">
        <v>54</v>
      </c>
      <c r="C4" s="15" t="s">
        <v>55</v>
      </c>
      <c r="D4" s="1"/>
      <c r="E4" s="1"/>
      <c r="F4" s="1"/>
      <c r="G4" s="1"/>
      <c r="H4" s="1"/>
      <c r="I4" s="1"/>
      <c r="J4" s="1"/>
      <c r="K4" s="1"/>
      <c r="L4" s="1"/>
      <c r="M4" s="1"/>
      <c r="N4" s="1"/>
      <c r="O4" s="1"/>
      <c r="P4" s="1"/>
      <c r="Q4" s="1"/>
      <c r="R4" s="1"/>
      <c r="S4" s="1"/>
      <c r="T4" s="1"/>
      <c r="U4" s="1"/>
      <c r="V4" s="1"/>
      <c r="W4" s="1"/>
      <c r="X4" s="1"/>
      <c r="Y4" s="1"/>
      <c r="Z4" s="1"/>
    </row>
    <row r="5">
      <c r="A5" s="1"/>
      <c r="B5" s="14" t="str">
        <f>'Sprint Backlog'!B5</f>
        <v>Identificador (ID) de item de product backlog</v>
      </c>
      <c r="C5" s="14" t="s">
        <v>56</v>
      </c>
      <c r="D5" s="1"/>
      <c r="E5" s="1"/>
      <c r="F5" s="1"/>
      <c r="G5" s="1"/>
      <c r="H5" s="1"/>
      <c r="I5" s="1"/>
      <c r="J5" s="1"/>
      <c r="K5" s="1"/>
      <c r="L5" s="1"/>
      <c r="M5" s="1"/>
      <c r="N5" s="1"/>
      <c r="O5" s="1"/>
      <c r="P5" s="1"/>
      <c r="Q5" s="1"/>
      <c r="R5" s="1"/>
      <c r="S5" s="1"/>
      <c r="T5" s="1"/>
      <c r="U5" s="1"/>
      <c r="V5" s="1"/>
      <c r="W5" s="1"/>
      <c r="X5" s="1"/>
      <c r="Y5" s="1"/>
      <c r="Z5" s="1"/>
    </row>
    <row r="6">
      <c r="A6" s="1"/>
      <c r="B6" s="14" t="str">
        <f>'Sprint Backlog'!C5</f>
        <v>Enunciado del item de Product Backlog</v>
      </c>
      <c r="C6" s="14" t="s">
        <v>57</v>
      </c>
      <c r="D6" s="1"/>
      <c r="E6" s="1"/>
      <c r="F6" s="1"/>
      <c r="G6" s="1"/>
      <c r="H6" s="1"/>
      <c r="I6" s="1"/>
      <c r="J6" s="1"/>
      <c r="K6" s="1"/>
      <c r="L6" s="1"/>
      <c r="M6" s="1"/>
      <c r="N6" s="1"/>
      <c r="O6" s="1"/>
      <c r="P6" s="1"/>
      <c r="Q6" s="1"/>
      <c r="R6" s="1"/>
      <c r="S6" s="1"/>
      <c r="T6" s="1"/>
      <c r="U6" s="1"/>
      <c r="V6" s="1"/>
      <c r="W6" s="1"/>
      <c r="X6" s="1"/>
      <c r="Y6" s="1"/>
      <c r="Z6" s="1"/>
    </row>
    <row r="7">
      <c r="A7" s="1"/>
      <c r="B7" s="14" t="s">
        <v>26</v>
      </c>
      <c r="C7" s="14" t="s">
        <v>58</v>
      </c>
      <c r="D7" s="1"/>
      <c r="E7" s="1"/>
      <c r="F7" s="1"/>
      <c r="G7" s="1"/>
      <c r="H7" s="1"/>
      <c r="I7" s="1"/>
      <c r="J7" s="1"/>
      <c r="K7" s="1"/>
      <c r="L7" s="1"/>
      <c r="M7" s="1"/>
      <c r="N7" s="1"/>
      <c r="O7" s="1"/>
      <c r="P7" s="1"/>
      <c r="Q7" s="1"/>
      <c r="R7" s="1"/>
      <c r="S7" s="1"/>
      <c r="T7" s="1"/>
      <c r="U7" s="1"/>
      <c r="V7" s="1"/>
      <c r="W7" s="1"/>
      <c r="X7" s="1"/>
      <c r="Y7" s="1"/>
      <c r="Z7" s="1"/>
    </row>
    <row r="8">
      <c r="A8" s="1"/>
      <c r="B8" s="14" t="s">
        <v>27</v>
      </c>
      <c r="C8" s="14" t="s">
        <v>59</v>
      </c>
      <c r="D8" s="1"/>
      <c r="E8" s="1"/>
      <c r="F8" s="1"/>
      <c r="G8" s="1"/>
      <c r="H8" s="1"/>
      <c r="I8" s="1"/>
      <c r="J8" s="1"/>
      <c r="K8" s="1"/>
      <c r="L8" s="1"/>
      <c r="M8" s="1"/>
      <c r="N8" s="1"/>
      <c r="O8" s="1"/>
      <c r="P8" s="1"/>
      <c r="Q8" s="1"/>
      <c r="R8" s="1"/>
      <c r="S8" s="1"/>
      <c r="T8" s="1"/>
      <c r="U8" s="1"/>
      <c r="V8" s="1"/>
      <c r="W8" s="1"/>
      <c r="X8" s="1"/>
      <c r="Y8" s="1"/>
      <c r="Z8" s="1"/>
    </row>
    <row r="9">
      <c r="A9" s="1"/>
      <c r="B9" s="14" t="s">
        <v>28</v>
      </c>
      <c r="C9" s="14" t="s">
        <v>60</v>
      </c>
      <c r="D9" s="1"/>
      <c r="E9" s="1"/>
      <c r="F9" s="1"/>
      <c r="G9" s="1"/>
      <c r="H9" s="1"/>
      <c r="I9" s="1"/>
      <c r="J9" s="1"/>
      <c r="K9" s="1"/>
      <c r="L9" s="1"/>
      <c r="M9" s="1"/>
      <c r="N9" s="1"/>
      <c r="O9" s="1"/>
      <c r="P9" s="1"/>
      <c r="Q9" s="1"/>
      <c r="R9" s="1"/>
      <c r="S9" s="1"/>
      <c r="T9" s="1"/>
      <c r="U9" s="1"/>
      <c r="V9" s="1"/>
      <c r="W9" s="1"/>
      <c r="X9" s="1"/>
      <c r="Y9" s="1"/>
      <c r="Z9" s="1"/>
    </row>
    <row r="10">
      <c r="A10" s="1"/>
      <c r="B10" s="14" t="s">
        <v>29</v>
      </c>
      <c r="C10" s="14" t="s">
        <v>61</v>
      </c>
      <c r="D10" s="1"/>
      <c r="E10" s="1"/>
      <c r="F10" s="1"/>
      <c r="G10" s="1"/>
      <c r="H10" s="1"/>
      <c r="I10" s="1"/>
      <c r="J10" s="1"/>
      <c r="K10" s="1"/>
      <c r="L10" s="1"/>
      <c r="M10" s="1"/>
      <c r="N10" s="1"/>
      <c r="O10" s="1"/>
      <c r="P10" s="1"/>
      <c r="Q10" s="1"/>
      <c r="R10" s="1"/>
      <c r="S10" s="1"/>
      <c r="T10" s="1"/>
      <c r="U10" s="1"/>
      <c r="V10" s="1"/>
      <c r="W10" s="1"/>
      <c r="X10" s="1"/>
      <c r="Y10" s="1"/>
      <c r="Z10" s="1"/>
    </row>
    <row r="11">
      <c r="A11" s="1"/>
      <c r="B11" s="14" t="s">
        <v>62</v>
      </c>
      <c r="C11" s="14" t="s">
        <v>63</v>
      </c>
      <c r="D11" s="1"/>
      <c r="E11" s="1"/>
      <c r="F11" s="1"/>
      <c r="G11" s="1"/>
      <c r="H11" s="1"/>
      <c r="I11" s="1"/>
      <c r="J11" s="1"/>
      <c r="K11" s="1"/>
      <c r="L11" s="1"/>
      <c r="M11" s="1"/>
      <c r="N11" s="1"/>
      <c r="O11" s="1"/>
      <c r="P11" s="1"/>
      <c r="Q11" s="1"/>
      <c r="R11" s="1"/>
      <c r="S11" s="1"/>
      <c r="T11" s="1"/>
      <c r="U11" s="1"/>
      <c r="V11" s="1"/>
      <c r="W11" s="1"/>
      <c r="X11" s="1"/>
      <c r="Y11" s="1"/>
      <c r="Z11" s="1"/>
    </row>
    <row r="12">
      <c r="A12" s="1"/>
      <c r="B12" s="14" t="s">
        <v>30</v>
      </c>
      <c r="C12" s="14" t="s">
        <v>64</v>
      </c>
      <c r="D12" s="1"/>
      <c r="E12" s="1"/>
      <c r="F12" s="1"/>
      <c r="G12" s="1"/>
      <c r="H12" s="1"/>
      <c r="I12" s="1"/>
      <c r="J12" s="1"/>
      <c r="K12" s="1"/>
      <c r="L12" s="1"/>
      <c r="M12" s="1"/>
      <c r="N12" s="1"/>
      <c r="O12" s="1"/>
      <c r="P12" s="1"/>
      <c r="Q12" s="1"/>
      <c r="R12" s="1"/>
      <c r="S12" s="1"/>
      <c r="T12" s="1"/>
      <c r="U12" s="1"/>
      <c r="V12" s="1"/>
      <c r="W12" s="1"/>
      <c r="X12" s="1"/>
      <c r="Y12" s="1"/>
      <c r="Z12" s="1"/>
    </row>
    <row r="13">
      <c r="A13" s="1"/>
      <c r="B13" s="14" t="s">
        <v>31</v>
      </c>
      <c r="C13" s="14" t="s">
        <v>65</v>
      </c>
      <c r="D13" s="1"/>
      <c r="E13" s="1"/>
      <c r="F13" s="1"/>
      <c r="G13" s="1"/>
      <c r="H13" s="1"/>
      <c r="I13" s="1"/>
      <c r="J13" s="1"/>
      <c r="K13" s="1"/>
      <c r="L13" s="1"/>
      <c r="M13" s="1"/>
      <c r="N13" s="1"/>
      <c r="O13" s="1"/>
      <c r="P13" s="1"/>
      <c r="Q13" s="1"/>
      <c r="R13" s="1"/>
      <c r="S13" s="1"/>
      <c r="T13" s="1"/>
      <c r="U13" s="1"/>
      <c r="V13" s="1"/>
      <c r="W13" s="1"/>
      <c r="X13" s="1"/>
      <c r="Y13" s="1"/>
      <c r="Z13" s="1"/>
    </row>
    <row r="14">
      <c r="A14" s="1"/>
      <c r="B14" s="14" t="s">
        <v>23</v>
      </c>
      <c r="C14" s="14" t="s">
        <v>66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